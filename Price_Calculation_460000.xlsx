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 46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0&quot; GEL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3" borderId="1" pivotButton="0" quotePrefix="0" xfId="0"/>
    <xf numFmtId="0" fontId="0" fillId="3" borderId="1" pivotButton="0" quotePrefix="0" xfId="0"/>
    <xf numFmtId="164" fontId="1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1" customWidth="1" min="3" max="3"/>
    <col width="13" customWidth="1" min="4" max="4"/>
    <col width="15" customWidth="1" min="5" max="5"/>
    <col width="11" customWidth="1" min="6" max="6"/>
    <col width="15" customWidth="1" min="7" max="7"/>
  </cols>
  <sheetData>
    <row r="1">
      <c r="A1" s="1" t="inlineStr">
        <is>
          <t>Service (EN)</t>
        </is>
      </c>
      <c r="B1" s="1" t="inlineStr">
        <is>
          <t>Услуга (RU)</t>
        </is>
      </c>
      <c r="C1" s="1" t="inlineStr">
        <is>
          <t>Type</t>
        </is>
      </c>
      <c r="D1" s="1" t="inlineStr">
        <is>
          <t>Price USD</t>
        </is>
      </c>
      <c r="E1" s="1" t="inlineStr">
        <is>
          <t>Price GEL</t>
        </is>
      </c>
      <c r="F1" s="1" t="inlineStr">
        <is>
          <t>Qty (m²)</t>
        </is>
      </c>
      <c r="G1" s="1" t="inlineStr">
        <is>
          <t>Amount USD</t>
        </is>
      </c>
    </row>
    <row r="2">
      <c r="A2" s="2" t="inlineStr">
        <is>
          <t>Architectural project</t>
        </is>
      </c>
      <c r="B2" s="2" t="inlineStr">
        <is>
          <t>Архитектурный проект</t>
        </is>
      </c>
      <c r="C2" s="2" t="inlineStr">
        <is>
          <t>per m²</t>
        </is>
      </c>
      <c r="D2" s="3" t="n">
        <v>4.12</v>
      </c>
      <c r="E2" s="4" t="n">
        <v>11.124</v>
      </c>
      <c r="F2" s="2" t="n">
        <v>51900</v>
      </c>
      <c r="G2" s="3" t="n">
        <v>213828</v>
      </c>
    </row>
    <row r="3">
      <c r="A3" s="2" t="inlineStr">
        <is>
          <t>Structural project (with expert review)</t>
        </is>
      </c>
      <c r="B3" s="2" t="inlineStr">
        <is>
          <t>Конструктивный проект (с экспертизой)</t>
        </is>
      </c>
      <c r="C3" s="2" t="inlineStr">
        <is>
          <t>per m²</t>
        </is>
      </c>
      <c r="D3" s="3" t="n">
        <v>1.5</v>
      </c>
      <c r="E3" s="4" t="n">
        <v>4.050000000000001</v>
      </c>
      <c r="F3" s="2" t="n">
        <v>51900</v>
      </c>
      <c r="G3" s="3" t="n">
        <v>77850</v>
      </c>
    </row>
    <row r="4">
      <c r="A4" s="2" t="inlineStr">
        <is>
          <t>Engineering systems (electrical, water &amp; sewage)</t>
        </is>
      </c>
      <c r="B4" s="2" t="inlineStr">
        <is>
          <t>Инженерные системы</t>
        </is>
      </c>
      <c r="C4" s="2" t="inlineStr">
        <is>
          <t>per m²</t>
        </is>
      </c>
      <c r="D4" s="3" t="n">
        <v>0.75</v>
      </c>
      <c r="E4" s="4" t="n">
        <v>2.025</v>
      </c>
      <c r="F4" s="2" t="n">
        <v>51900</v>
      </c>
      <c r="G4" s="3" t="n">
        <v>38925</v>
      </c>
    </row>
    <row r="5">
      <c r="A5" s="2" t="inlineStr">
        <is>
          <t>Fire safety &amp; accessibility (Code 41)</t>
        </is>
      </c>
      <c r="B5" s="2" t="inlineStr">
        <is>
          <t>Пожарная безопасность (Код 41)</t>
        </is>
      </c>
      <c r="C5" s="2" t="inlineStr">
        <is>
          <t>per m²</t>
        </is>
      </c>
      <c r="D5" s="3" t="n">
        <v>0.6</v>
      </c>
      <c r="E5" s="4" t="n">
        <v>1.62</v>
      </c>
      <c r="F5" s="2" t="n">
        <v>51900</v>
      </c>
      <c r="G5" s="3" t="n">
        <v>31140</v>
      </c>
    </row>
    <row r="6">
      <c r="A6" s="2" t="inlineStr">
        <is>
          <t>Fire protection systems (range 1.50–2.25)</t>
        </is>
      </c>
      <c r="B6" s="2" t="inlineStr">
        <is>
          <t>Системы пожаротушения (диапазон)</t>
        </is>
      </c>
      <c r="C6" s="2" t="inlineStr">
        <is>
          <t>per m²</t>
        </is>
      </c>
      <c r="D6" s="3" t="n">
        <v>1.8738</v>
      </c>
      <c r="E6" s="4" t="n">
        <v>5.0593</v>
      </c>
      <c r="F6" s="2" t="n">
        <v>51900</v>
      </c>
      <c r="G6" s="3" t="n">
        <v>97250.22</v>
      </c>
    </row>
    <row r="7">
      <c r="A7" s="2" t="inlineStr">
        <is>
          <t>Transport circulation schemes</t>
        </is>
      </c>
      <c r="B7" s="2" t="inlineStr">
        <is>
          <t>Транспортные схемы</t>
        </is>
      </c>
      <c r="C7" s="2" t="inlineStr">
        <is>
          <t>lump sum</t>
        </is>
      </c>
      <c r="D7" s="3" t="n">
        <v>555.5599999999999</v>
      </c>
      <c r="E7" s="4" t="n">
        <v>1500</v>
      </c>
      <c r="F7" s="2" t="n">
        <v>1</v>
      </c>
      <c r="G7" s="3" t="n">
        <v>555.5599999999999</v>
      </c>
    </row>
    <row r="8">
      <c r="A8" s="2" t="inlineStr">
        <is>
          <t>Business plan for land status change</t>
        </is>
      </c>
      <c r="B8" s="2" t="inlineStr">
        <is>
          <t>Бизнес-план (смена статуса земли)</t>
        </is>
      </c>
      <c r="C8" s="2" t="inlineStr">
        <is>
          <t>lump sum</t>
        </is>
      </c>
      <c r="D8" s="3" t="n">
        <v>450</v>
      </c>
      <c r="E8" s="4" t="n">
        <v>1215</v>
      </c>
      <c r="F8" s="2" t="n">
        <v>1</v>
      </c>
      <c r="G8" s="3" t="n">
        <v>450</v>
      </c>
    </row>
    <row r="9">
      <c r="A9" s="5" t="inlineStr">
        <is>
          <t>TOTAL / ИТОГО</t>
        </is>
      </c>
      <c r="B9" s="6" t="n"/>
      <c r="C9" s="6" t="n"/>
      <c r="D9" s="6" t="n"/>
      <c r="E9" s="6" t="n"/>
      <c r="F9" s="6" t="n"/>
      <c r="G9" s="7">
        <f>SUM(G2:G9)</f>
        <v/>
      </c>
    </row>
    <row r="11">
      <c r="A11" s="8" t="inlineStr">
        <is>
          <t>Target / Цель:</t>
        </is>
      </c>
      <c r="B11" t="inlineStr">
        <is>
          <t>$460,000.00 for 51,900 m²</t>
        </is>
      </c>
    </row>
    <row r="12">
      <c r="A12" s="8" t="inlineStr">
        <is>
          <t>Factor / Коэффициент:</t>
        </is>
      </c>
      <c r="B12" t="inlineStr">
        <is>
          <t>≈ 0.749 (−25.1%) applied proportionally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2026-07-15T09:38:43Z</dcterms:created>
  <dcterms:modified xsi:type="dcterms:W3CDTF">2026-07-15T09:38:43Z</dcterms:modified>
</cp:coreProperties>
</file>